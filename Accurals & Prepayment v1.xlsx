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rbulmohammed/Documents/Finance/Projects/"/>
    </mc:Choice>
  </mc:AlternateContent>
  <xr:revisionPtr revIDLastSave="0" documentId="13_ncr:1_{4A3B47F9-7D59-DE4D-8F31-B740F06E5732}" xr6:coauthVersionLast="47" xr6:coauthVersionMax="47" xr10:uidLastSave="{00000000-0000-0000-0000-000000000000}"/>
  <bookViews>
    <workbookView xWindow="28800" yWindow="0" windowWidth="33600" windowHeight="21000" activeTab="3" xr2:uid="{A8316876-21CC-114A-94C6-A35633CCB5CB}"/>
  </bookViews>
  <sheets>
    <sheet name="Assumptions" sheetId="1" r:id="rId1"/>
    <sheet name="Prepayment Schedule" sheetId="2" r:id="rId2"/>
    <sheet name="Monthly Profit &amp; Loss (P&amp;L)" sheetId="3" r:id="rId3"/>
    <sheet name="Balance Shee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G7" i="4" s="1"/>
  <c r="H7" i="4" s="1"/>
  <c r="I7" i="4" s="1"/>
  <c r="J7" i="4" s="1"/>
  <c r="K7" i="4" s="1"/>
  <c r="L7" i="4" s="1"/>
  <c r="M7" i="4" s="1"/>
  <c r="N7" i="4" s="1"/>
  <c r="E7" i="4"/>
  <c r="D7" i="4"/>
  <c r="C7" i="4"/>
  <c r="E5" i="4"/>
  <c r="F5" i="4"/>
  <c r="G5" i="4"/>
  <c r="H5" i="4"/>
  <c r="I5" i="4"/>
  <c r="J5" i="4"/>
  <c r="K5" i="4"/>
  <c r="L5" i="4"/>
  <c r="M5" i="4"/>
  <c r="N5" i="4"/>
  <c r="D5" i="4"/>
  <c r="C5" i="4"/>
  <c r="C10" i="3"/>
  <c r="E8" i="3"/>
  <c r="F8" i="3"/>
  <c r="G8" i="3"/>
  <c r="H8" i="3"/>
  <c r="I8" i="3"/>
  <c r="J8" i="3"/>
  <c r="K8" i="3"/>
  <c r="L8" i="3"/>
  <c r="M8" i="3"/>
  <c r="N8" i="3"/>
  <c r="D8" i="3"/>
  <c r="C8" i="3"/>
  <c r="D6" i="3"/>
  <c r="E6" i="3"/>
  <c r="F6" i="3"/>
  <c r="G6" i="3"/>
  <c r="H6" i="3"/>
  <c r="I6" i="3"/>
  <c r="J6" i="3"/>
  <c r="K6" i="3"/>
  <c r="L6" i="3"/>
  <c r="M6" i="3"/>
  <c r="N6" i="3"/>
  <c r="C6" i="3"/>
  <c r="D4" i="3"/>
  <c r="E4" i="3"/>
  <c r="F4" i="3"/>
  <c r="G4" i="3"/>
  <c r="H4" i="3"/>
  <c r="I4" i="3"/>
  <c r="J4" i="3"/>
  <c r="K4" i="3"/>
  <c r="L4" i="3"/>
  <c r="M4" i="3"/>
  <c r="N4" i="3"/>
  <c r="C4" i="3"/>
  <c r="B14" i="2"/>
  <c r="C6" i="2"/>
  <c r="D6" i="2"/>
  <c r="E6" i="2"/>
  <c r="F6" i="2"/>
  <c r="G6" i="2"/>
  <c r="H6" i="2"/>
  <c r="I6" i="2"/>
  <c r="J6" i="2"/>
  <c r="K6" i="2"/>
  <c r="L6" i="2"/>
  <c r="M6" i="2"/>
  <c r="B6" i="2"/>
  <c r="B13" i="2" s="1"/>
  <c r="B15" i="2" s="1"/>
  <c r="B4" i="2"/>
  <c r="B8" i="2" s="1"/>
  <c r="C4" i="2" s="1"/>
  <c r="C8" i="2" l="1"/>
  <c r="D4" i="2" s="1"/>
  <c r="D8" i="2" s="1"/>
  <c r="E4" i="2" s="1"/>
  <c r="E8" i="2" s="1"/>
  <c r="F4" i="2" s="1"/>
  <c r="F8" i="2" s="1"/>
  <c r="G4" i="2" s="1"/>
  <c r="G8" i="2" s="1"/>
  <c r="H4" i="2" s="1"/>
  <c r="H8" i="2" s="1"/>
  <c r="I4" i="2" s="1"/>
  <c r="I8" i="2" s="1"/>
  <c r="J4" i="2" s="1"/>
  <c r="J8" i="2" s="1"/>
  <c r="K4" i="2" s="1"/>
  <c r="K8" i="2" s="1"/>
  <c r="L4" i="2" s="1"/>
  <c r="L8" i="2" s="1"/>
  <c r="M4" i="2" s="1"/>
  <c r="M8" i="2" s="1"/>
</calcChain>
</file>

<file path=xl/sharedStrings.xml><?xml version="1.0" encoding="utf-8"?>
<sst xmlns="http://schemas.openxmlformats.org/spreadsheetml/2006/main" count="23" uniqueCount="21">
  <si>
    <t>Start Month</t>
  </si>
  <si>
    <t>End Month</t>
  </si>
  <si>
    <t>Item</t>
  </si>
  <si>
    <t>Value</t>
  </si>
  <si>
    <t>Monthly Rent</t>
  </si>
  <si>
    <t>Annual Rent (Initial)</t>
  </si>
  <si>
    <t>Rent Expense</t>
  </si>
  <si>
    <t>Opening Prepayment Balance</t>
  </si>
  <si>
    <t>Closing Prepayment Balance</t>
  </si>
  <si>
    <t>Control</t>
  </si>
  <si>
    <t>Total Rent Expensed</t>
  </si>
  <si>
    <t>Annual Rent Paid</t>
  </si>
  <si>
    <t>Difference</t>
  </si>
  <si>
    <t>Monthly Mortgage</t>
  </si>
  <si>
    <t>Mortgage Expense</t>
  </si>
  <si>
    <t>Operating Profit</t>
  </si>
  <si>
    <t>Total</t>
  </si>
  <si>
    <t>Prepayments</t>
  </si>
  <si>
    <t>Assets</t>
  </si>
  <si>
    <t>Equity</t>
  </si>
  <si>
    <t>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</si>
</sst>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£&quot;* #,##0_);_(&quot;£&quot;* \(#,##0\);_(&quot;£&quot;* &quot;-&quot;_);_(@_)"/>
    <numFmt numFmtId="169" formatCode="&quot;£&quot;#,##0.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b/>
      <i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0" xfId="0" applyFont="1"/>
    <xf numFmtId="14" fontId="2" fillId="0" borderId="0" xfId="0" applyNumberFormat="1" applyFont="1"/>
    <xf numFmtId="42" fontId="2" fillId="0" borderId="0" xfId="0" applyNumberFormat="1" applyFont="1"/>
    <xf numFmtId="0" fontId="1" fillId="0" borderId="0" xfId="0" applyFont="1"/>
    <xf numFmtId="0" fontId="1" fillId="2" borderId="1" xfId="0" applyFont="1" applyFill="1" applyBorder="1"/>
    <xf numFmtId="17" fontId="2" fillId="0" borderId="0" xfId="0" applyNumberFormat="1" applyFont="1" applyAlignment="1">
      <alignment horizontal="center"/>
    </xf>
    <xf numFmtId="42" fontId="0" fillId="0" borderId="0" xfId="0" applyNumberFormat="1"/>
    <xf numFmtId="0" fontId="2" fillId="0" borderId="0" xfId="0" applyFont="1" applyAlignment="1">
      <alignment horizontal="center"/>
    </xf>
    <xf numFmtId="37" fontId="2" fillId="0" borderId="0" xfId="0" applyNumberFormat="1" applyFont="1"/>
    <xf numFmtId="42" fontId="2" fillId="0" borderId="1" xfId="0" applyNumberFormat="1" applyFont="1" applyBorder="1"/>
    <xf numFmtId="42" fontId="1" fillId="0" borderId="0" xfId="0" applyNumberFormat="1" applyFont="1"/>
    <xf numFmtId="0" fontId="2" fillId="0" borderId="1" xfId="0" applyFont="1" applyBorder="1"/>
    <xf numFmtId="0" fontId="0" fillId="0" borderId="1" xfId="0" applyBorder="1"/>
    <xf numFmtId="0" fontId="4" fillId="0" borderId="0" xfId="0" applyFont="1"/>
    <xf numFmtId="0" fontId="2" fillId="0" borderId="0" xfId="0" applyFont="1" applyAlignment="1">
      <alignment horizontal="right"/>
    </xf>
    <xf numFmtId="169" fontId="2" fillId="0" borderId="0" xfId="0" applyNumberFormat="1" applyFont="1"/>
    <xf numFmtId="16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BCD4-2A8A-2F4C-A0B5-31468C16D65C}">
  <dimension ref="B2:C10"/>
  <sheetViews>
    <sheetView workbookViewId="0">
      <selection activeCell="D39" sqref="D39"/>
    </sheetView>
  </sheetViews>
  <sheetFormatPr baseColWidth="10" defaultRowHeight="16" x14ac:dyDescent="0.2"/>
  <cols>
    <col min="2" max="2" width="25.1640625" bestFit="1" customWidth="1"/>
    <col min="3" max="3" width="18.33203125" customWidth="1"/>
  </cols>
  <sheetData>
    <row r="2" spans="2:3" x14ac:dyDescent="0.2">
      <c r="B2" s="6" t="s">
        <v>2</v>
      </c>
      <c r="C2" s="6" t="s">
        <v>3</v>
      </c>
    </row>
    <row r="3" spans="2:3" x14ac:dyDescent="0.2">
      <c r="B3" s="9" t="s">
        <v>5</v>
      </c>
      <c r="C3" s="4">
        <v>24000</v>
      </c>
    </row>
    <row r="4" spans="2:3" x14ac:dyDescent="0.2">
      <c r="B4" s="9" t="s">
        <v>4</v>
      </c>
      <c r="C4" s="4">
        <v>2000</v>
      </c>
    </row>
    <row r="5" spans="2:3" x14ac:dyDescent="0.2">
      <c r="B5" s="9" t="s">
        <v>13</v>
      </c>
      <c r="C5" s="4">
        <v>900</v>
      </c>
    </row>
    <row r="6" spans="2:3" x14ac:dyDescent="0.2">
      <c r="B6" s="9" t="s">
        <v>0</v>
      </c>
      <c r="C6" s="3">
        <v>46023</v>
      </c>
    </row>
    <row r="7" spans="2:3" x14ac:dyDescent="0.2">
      <c r="B7" s="9" t="s">
        <v>1</v>
      </c>
      <c r="C7" s="3">
        <v>46387</v>
      </c>
    </row>
    <row r="8" spans="2:3" x14ac:dyDescent="0.2">
      <c r="B8" s="9"/>
      <c r="C8" s="4"/>
    </row>
    <row r="9" spans="2:3" x14ac:dyDescent="0.2">
      <c r="B9" s="9"/>
      <c r="C9" s="3"/>
    </row>
    <row r="10" spans="2:3" x14ac:dyDescent="0.2">
      <c r="B10" s="9"/>
      <c r="C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50D1-5332-094E-81AE-AE32FF3B04A7}">
  <dimension ref="A2:M15"/>
  <sheetViews>
    <sheetView workbookViewId="0">
      <selection activeCell="J19" sqref="J19"/>
    </sheetView>
  </sheetViews>
  <sheetFormatPr baseColWidth="10" defaultRowHeight="16" x14ac:dyDescent="0.2"/>
  <cols>
    <col min="1" max="1" width="25.6640625" bestFit="1" customWidth="1"/>
    <col min="3" max="3" width="10.6640625" customWidth="1"/>
    <col min="4" max="4" width="12" bestFit="1" customWidth="1"/>
    <col min="5" max="5" width="13.5" customWidth="1"/>
  </cols>
  <sheetData>
    <row r="2" spans="1:13" x14ac:dyDescent="0.2">
      <c r="B2" s="5"/>
      <c r="C2" s="5"/>
      <c r="D2" s="5"/>
      <c r="E2" s="5"/>
    </row>
    <row r="3" spans="1:13" x14ac:dyDescent="0.2">
      <c r="A3" s="2"/>
      <c r="B3" s="7">
        <v>46023</v>
      </c>
      <c r="C3" s="7">
        <v>46054</v>
      </c>
      <c r="D3" s="7">
        <v>46082</v>
      </c>
      <c r="E3" s="7">
        <v>46113</v>
      </c>
      <c r="F3" s="7">
        <v>46143</v>
      </c>
      <c r="G3" s="7">
        <v>46174</v>
      </c>
      <c r="H3" s="7">
        <v>46204</v>
      </c>
      <c r="I3" s="7">
        <v>46235</v>
      </c>
      <c r="J3" s="7">
        <v>46266</v>
      </c>
      <c r="K3" s="7">
        <v>46296</v>
      </c>
      <c r="L3" s="7">
        <v>46327</v>
      </c>
      <c r="M3" s="7">
        <v>46357</v>
      </c>
    </row>
    <row r="4" spans="1:13" x14ac:dyDescent="0.2">
      <c r="A4" s="2" t="s">
        <v>7</v>
      </c>
      <c r="B4" s="4">
        <f>Assumptions!C3</f>
        <v>24000</v>
      </c>
      <c r="C4" s="4">
        <f>B8</f>
        <v>22000</v>
      </c>
      <c r="D4" s="4">
        <f t="shared" ref="D4:M4" si="0">C8</f>
        <v>20000</v>
      </c>
      <c r="E4" s="4">
        <f t="shared" si="0"/>
        <v>18000</v>
      </c>
      <c r="F4" s="4">
        <f t="shared" si="0"/>
        <v>16000</v>
      </c>
      <c r="G4" s="4">
        <f t="shared" si="0"/>
        <v>14000</v>
      </c>
      <c r="H4" s="4">
        <f t="shared" si="0"/>
        <v>12000</v>
      </c>
      <c r="I4" s="4">
        <f t="shared" si="0"/>
        <v>10000</v>
      </c>
      <c r="J4" s="4">
        <f t="shared" si="0"/>
        <v>8000</v>
      </c>
      <c r="K4" s="4">
        <f t="shared" si="0"/>
        <v>6000</v>
      </c>
      <c r="L4" s="4">
        <f t="shared" si="0"/>
        <v>4000</v>
      </c>
      <c r="M4" s="4">
        <f t="shared" si="0"/>
        <v>2000</v>
      </c>
    </row>
    <row r="5" spans="1:13" x14ac:dyDescent="0.2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2">
      <c r="A6" s="2" t="s">
        <v>6</v>
      </c>
      <c r="B6" s="4">
        <f>Assumptions!$C$4</f>
        <v>2000</v>
      </c>
      <c r="C6" s="4">
        <f>Assumptions!$C$4</f>
        <v>2000</v>
      </c>
      <c r="D6" s="4">
        <f>Assumptions!$C$4</f>
        <v>2000</v>
      </c>
      <c r="E6" s="4">
        <f>Assumptions!$C$4</f>
        <v>2000</v>
      </c>
      <c r="F6" s="4">
        <f>Assumptions!$C$4</f>
        <v>2000</v>
      </c>
      <c r="G6" s="4">
        <f>Assumptions!$C$4</f>
        <v>2000</v>
      </c>
      <c r="H6" s="4">
        <f>Assumptions!$C$4</f>
        <v>2000</v>
      </c>
      <c r="I6" s="4">
        <f>Assumptions!$C$4</f>
        <v>2000</v>
      </c>
      <c r="J6" s="4">
        <f>Assumptions!$C$4</f>
        <v>2000</v>
      </c>
      <c r="K6" s="4">
        <f>Assumptions!$C$4</f>
        <v>2000</v>
      </c>
      <c r="L6" s="4">
        <f>Assumptions!$C$4</f>
        <v>2000</v>
      </c>
      <c r="M6" s="4">
        <f>Assumptions!$C$4</f>
        <v>2000</v>
      </c>
    </row>
    <row r="7" spans="1:13" x14ac:dyDescent="0.2">
      <c r="A7" s="2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x14ac:dyDescent="0.2">
      <c r="A8" s="2" t="s">
        <v>8</v>
      </c>
      <c r="B8" s="12">
        <f>B4-B6</f>
        <v>22000</v>
      </c>
      <c r="C8" s="12">
        <f t="shared" ref="C8:M8" si="1">C4-C6</f>
        <v>20000</v>
      </c>
      <c r="D8" s="12">
        <f t="shared" si="1"/>
        <v>18000</v>
      </c>
      <c r="E8" s="12">
        <f t="shared" si="1"/>
        <v>16000</v>
      </c>
      <c r="F8" s="12">
        <f t="shared" si="1"/>
        <v>14000</v>
      </c>
      <c r="G8" s="12">
        <f t="shared" si="1"/>
        <v>12000</v>
      </c>
      <c r="H8" s="12">
        <f t="shared" si="1"/>
        <v>10000</v>
      </c>
      <c r="I8" s="12">
        <f t="shared" si="1"/>
        <v>8000</v>
      </c>
      <c r="J8" s="12">
        <f t="shared" si="1"/>
        <v>6000</v>
      </c>
      <c r="K8" s="12">
        <f t="shared" si="1"/>
        <v>4000</v>
      </c>
      <c r="L8" s="12">
        <f t="shared" si="1"/>
        <v>2000</v>
      </c>
      <c r="M8" s="18">
        <f t="shared" si="1"/>
        <v>0</v>
      </c>
    </row>
    <row r="9" spans="1:13" x14ac:dyDescent="0.2">
      <c r="B9" s="4"/>
      <c r="C9" s="4"/>
      <c r="D9" s="4"/>
      <c r="E9" s="4"/>
      <c r="F9" s="8"/>
      <c r="G9" s="8"/>
      <c r="H9" s="8"/>
      <c r="I9" s="8"/>
      <c r="J9" s="8"/>
      <c r="K9" s="8"/>
      <c r="L9" s="8"/>
      <c r="M9" s="8"/>
    </row>
    <row r="10" spans="1:13" x14ac:dyDescent="0.2">
      <c r="B10" s="2"/>
      <c r="C10" s="2"/>
      <c r="D10" s="2"/>
      <c r="E10" s="2"/>
    </row>
    <row r="11" spans="1:13" x14ac:dyDescent="0.2">
      <c r="B11" s="2"/>
      <c r="C11" s="2"/>
      <c r="D11" s="2"/>
      <c r="E11" s="2"/>
    </row>
    <row r="12" spans="1:13" x14ac:dyDescent="0.2">
      <c r="A12" s="1" t="s">
        <v>9</v>
      </c>
      <c r="B12" s="1" t="s">
        <v>3</v>
      </c>
      <c r="C12" s="2"/>
      <c r="D12" s="2"/>
      <c r="E12" s="2"/>
    </row>
    <row r="13" spans="1:13" x14ac:dyDescent="0.2">
      <c r="A13" s="2" t="s">
        <v>10</v>
      </c>
      <c r="B13" s="4">
        <f>SUM(B6:M6)</f>
        <v>24000</v>
      </c>
      <c r="C13" s="2"/>
      <c r="D13" s="2"/>
      <c r="E13" s="2"/>
    </row>
    <row r="14" spans="1:13" x14ac:dyDescent="0.2">
      <c r="A14" s="2" t="s">
        <v>11</v>
      </c>
      <c r="B14" s="4">
        <f>Assumptions!C3</f>
        <v>24000</v>
      </c>
      <c r="C14" s="2"/>
      <c r="D14" s="2"/>
      <c r="E14" s="2"/>
    </row>
    <row r="15" spans="1:13" x14ac:dyDescent="0.2">
      <c r="A15" s="2" t="s">
        <v>12</v>
      </c>
      <c r="B15" s="10">
        <f>B13-B14</f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EDDF-8DAC-434F-B91B-0BDAC9EE3D0C}">
  <dimension ref="B3:N53"/>
  <sheetViews>
    <sheetView workbookViewId="0">
      <selection activeCell="F40" sqref="F40"/>
    </sheetView>
  </sheetViews>
  <sheetFormatPr baseColWidth="10" defaultRowHeight="16" x14ac:dyDescent="0.2"/>
  <cols>
    <col min="2" max="2" width="16.5" bestFit="1" customWidth="1"/>
  </cols>
  <sheetData>
    <row r="3" spans="2:14" x14ac:dyDescent="0.2">
      <c r="B3" s="2"/>
      <c r="C3" s="7">
        <v>46023</v>
      </c>
      <c r="D3" s="7">
        <v>46054</v>
      </c>
      <c r="E3" s="7">
        <v>46082</v>
      </c>
      <c r="F3" s="7">
        <v>46113</v>
      </c>
      <c r="G3" s="7">
        <v>46143</v>
      </c>
      <c r="H3" s="7">
        <v>46174</v>
      </c>
      <c r="I3" s="7">
        <v>46204</v>
      </c>
      <c r="J3" s="7">
        <v>46235</v>
      </c>
      <c r="K3" s="7">
        <v>46266</v>
      </c>
      <c r="L3" s="7">
        <v>46296</v>
      </c>
      <c r="M3" s="7">
        <v>46327</v>
      </c>
      <c r="N3" s="7">
        <v>46357</v>
      </c>
    </row>
    <row r="4" spans="2:14" x14ac:dyDescent="0.2">
      <c r="B4" s="2" t="s">
        <v>6</v>
      </c>
      <c r="C4" s="4">
        <f>Assumptions!$C$4</f>
        <v>2000</v>
      </c>
      <c r="D4" s="4">
        <f>Assumptions!$C$4</f>
        <v>2000</v>
      </c>
      <c r="E4" s="4">
        <f>Assumptions!$C$4</f>
        <v>2000</v>
      </c>
      <c r="F4" s="4">
        <f>Assumptions!$C$4</f>
        <v>2000</v>
      </c>
      <c r="G4" s="4">
        <f>Assumptions!$C$4</f>
        <v>2000</v>
      </c>
      <c r="H4" s="4">
        <f>Assumptions!$C$4</f>
        <v>2000</v>
      </c>
      <c r="I4" s="4">
        <f>Assumptions!$C$4</f>
        <v>2000</v>
      </c>
      <c r="J4" s="4">
        <f>Assumptions!$C$4</f>
        <v>2000</v>
      </c>
      <c r="K4" s="4">
        <f>Assumptions!$C$4</f>
        <v>2000</v>
      </c>
      <c r="L4" s="4">
        <f>Assumptions!$C$4</f>
        <v>2000</v>
      </c>
      <c r="M4" s="4">
        <f>Assumptions!$C$4</f>
        <v>2000</v>
      </c>
      <c r="N4" s="4">
        <f>Assumptions!$C$4</f>
        <v>2000</v>
      </c>
    </row>
    <row r="5" spans="2:1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2:14" x14ac:dyDescent="0.2">
      <c r="B6" s="2" t="s">
        <v>14</v>
      </c>
      <c r="C6" s="4">
        <f>Assumptions!$C$5</f>
        <v>900</v>
      </c>
      <c r="D6" s="4">
        <f>Assumptions!$C$5</f>
        <v>900</v>
      </c>
      <c r="E6" s="4">
        <f>Assumptions!$C$5</f>
        <v>900</v>
      </c>
      <c r="F6" s="4">
        <f>Assumptions!$C$5</f>
        <v>900</v>
      </c>
      <c r="G6" s="4">
        <f>Assumptions!$C$5</f>
        <v>900</v>
      </c>
      <c r="H6" s="4">
        <f>Assumptions!$C$5</f>
        <v>900</v>
      </c>
      <c r="I6" s="4">
        <f>Assumptions!$C$5</f>
        <v>900</v>
      </c>
      <c r="J6" s="4">
        <f>Assumptions!$C$5</f>
        <v>900</v>
      </c>
      <c r="K6" s="4">
        <f>Assumptions!$C$5</f>
        <v>900</v>
      </c>
      <c r="L6" s="4">
        <f>Assumptions!$C$5</f>
        <v>900</v>
      </c>
      <c r="M6" s="4">
        <f>Assumptions!$C$5</f>
        <v>900</v>
      </c>
      <c r="N6" s="4">
        <f>Assumptions!$C$5</f>
        <v>900</v>
      </c>
    </row>
    <row r="7" spans="2:14" x14ac:dyDescent="0.2">
      <c r="B7" s="2"/>
      <c r="C7" s="13"/>
      <c r="D7" s="13"/>
      <c r="E7" s="13"/>
      <c r="F7" s="13"/>
      <c r="G7" s="13"/>
      <c r="H7" s="13"/>
      <c r="I7" s="13"/>
      <c r="J7" s="13"/>
      <c r="K7" s="13"/>
      <c r="L7" s="13"/>
      <c r="M7" s="14"/>
      <c r="N7" s="14"/>
    </row>
    <row r="8" spans="2:14" x14ac:dyDescent="0.2">
      <c r="B8" s="5" t="s">
        <v>15</v>
      </c>
      <c r="C8" s="12">
        <f>C4-C6</f>
        <v>1100</v>
      </c>
      <c r="D8" s="12">
        <f>D4-D6</f>
        <v>1100</v>
      </c>
      <c r="E8" s="12">
        <f t="shared" ref="E8:N8" si="0">E4-E6</f>
        <v>1100</v>
      </c>
      <c r="F8" s="12">
        <f t="shared" si="0"/>
        <v>1100</v>
      </c>
      <c r="G8" s="12">
        <f t="shared" si="0"/>
        <v>1100</v>
      </c>
      <c r="H8" s="12">
        <f t="shared" si="0"/>
        <v>1100</v>
      </c>
      <c r="I8" s="12">
        <f t="shared" si="0"/>
        <v>1100</v>
      </c>
      <c r="J8" s="12">
        <f t="shared" si="0"/>
        <v>1100</v>
      </c>
      <c r="K8" s="12">
        <f t="shared" si="0"/>
        <v>1100</v>
      </c>
      <c r="L8" s="12">
        <f t="shared" si="0"/>
        <v>1100</v>
      </c>
      <c r="M8" s="12">
        <f t="shared" si="0"/>
        <v>1100</v>
      </c>
      <c r="N8" s="12">
        <f t="shared" si="0"/>
        <v>1100</v>
      </c>
    </row>
    <row r="9" spans="2:1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2:14" x14ac:dyDescent="0.2">
      <c r="B10" s="5" t="s">
        <v>16</v>
      </c>
      <c r="C10" s="4">
        <f>SUM(C8:N8)</f>
        <v>13200</v>
      </c>
      <c r="D10" s="2"/>
      <c r="E10" s="2"/>
      <c r="F10" s="2"/>
      <c r="G10" s="2"/>
      <c r="H10" s="2"/>
      <c r="I10" s="2"/>
      <c r="J10" s="2"/>
      <c r="K10" s="2"/>
      <c r="L10" s="2"/>
    </row>
    <row r="11" spans="2:1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2:1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2:1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2:1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43" spans="2:14" x14ac:dyDescent="0.2">
      <c r="B43" s="2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2:14" x14ac:dyDescent="0.2">
      <c r="B44" s="2"/>
      <c r="C44" s="4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2:14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2:14" x14ac:dyDescent="0.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2:14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2:14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2:13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EC47-E6C1-8743-948F-32683B35BA13}">
  <dimension ref="B3:N10"/>
  <sheetViews>
    <sheetView tabSelected="1" workbookViewId="0">
      <selection activeCell="B3" sqref="B3:N7"/>
    </sheetView>
  </sheetViews>
  <sheetFormatPr baseColWidth="10" defaultRowHeight="16" x14ac:dyDescent="0.2"/>
  <cols>
    <col min="2" max="2" width="16" customWidth="1"/>
  </cols>
  <sheetData>
    <row r="3" spans="2:14" x14ac:dyDescent="0.2">
      <c r="B3" s="2"/>
      <c r="C3" s="7">
        <v>46023</v>
      </c>
      <c r="D3" s="7">
        <v>46054</v>
      </c>
      <c r="E3" s="7">
        <v>46082</v>
      </c>
      <c r="F3" s="7">
        <v>46113</v>
      </c>
      <c r="G3" s="7">
        <v>46143</v>
      </c>
      <c r="H3" s="7">
        <v>46174</v>
      </c>
      <c r="I3" s="7">
        <v>46204</v>
      </c>
      <c r="J3" s="7">
        <v>46235</v>
      </c>
      <c r="K3" s="7">
        <v>46266</v>
      </c>
      <c r="L3" s="7">
        <v>46296</v>
      </c>
      <c r="M3" s="7">
        <v>46327</v>
      </c>
      <c r="N3" s="7">
        <v>46357</v>
      </c>
    </row>
    <row r="4" spans="2:14" x14ac:dyDescent="0.2">
      <c r="B4" s="15" t="s">
        <v>18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x14ac:dyDescent="0.2">
      <c r="B5" s="16" t="s">
        <v>17</v>
      </c>
      <c r="C5" s="4">
        <f>'Prepayment Schedule'!B8</f>
        <v>22000</v>
      </c>
      <c r="D5" s="4">
        <f>'Prepayment Schedule'!C8</f>
        <v>20000</v>
      </c>
      <c r="E5" s="4">
        <f>'Prepayment Schedule'!D8</f>
        <v>18000</v>
      </c>
      <c r="F5" s="4">
        <f>'Prepayment Schedule'!E8</f>
        <v>16000</v>
      </c>
      <c r="G5" s="4">
        <f>'Prepayment Schedule'!F8</f>
        <v>14000</v>
      </c>
      <c r="H5" s="4">
        <f>'Prepayment Schedule'!G8</f>
        <v>12000</v>
      </c>
      <c r="I5" s="4">
        <f>'Prepayment Schedule'!H8</f>
        <v>10000</v>
      </c>
      <c r="J5" s="4">
        <f>'Prepayment Schedule'!I8</f>
        <v>8000</v>
      </c>
      <c r="K5" s="4">
        <f>'Prepayment Schedule'!J8</f>
        <v>6000</v>
      </c>
      <c r="L5" s="4">
        <f>'Prepayment Schedule'!K8</f>
        <v>4000</v>
      </c>
      <c r="M5" s="4">
        <f>'Prepayment Schedule'!L8</f>
        <v>2000</v>
      </c>
      <c r="N5" s="17">
        <f>'Prepayment Schedule'!M8</f>
        <v>0</v>
      </c>
    </row>
    <row r="6" spans="2:14" x14ac:dyDescent="0.2">
      <c r="B6" s="15" t="s">
        <v>19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4" x14ac:dyDescent="0.2">
      <c r="B7" s="16" t="s">
        <v>20</v>
      </c>
      <c r="C7" s="4">
        <f>'Monthly Profit &amp; Loss (P&amp;L)'!C8</f>
        <v>1100</v>
      </c>
      <c r="D7" s="4">
        <f>'Monthly Profit &amp; Loss (P&amp;L)'!D8+C7</f>
        <v>2200</v>
      </c>
      <c r="E7" s="4">
        <f>'Monthly Profit &amp; Loss (P&amp;L)'!E8+D7</f>
        <v>3300</v>
      </c>
      <c r="F7" s="4">
        <f>'Monthly Profit &amp; Loss (P&amp;L)'!F8+E7</f>
        <v>4400</v>
      </c>
      <c r="G7" s="4">
        <f>'Monthly Profit &amp; Loss (P&amp;L)'!G8+F7</f>
        <v>5500</v>
      </c>
      <c r="H7" s="4">
        <f>'Monthly Profit &amp; Loss (P&amp;L)'!H8+G7</f>
        <v>6600</v>
      </c>
      <c r="I7" s="4">
        <f>'Monthly Profit &amp; Loss (P&amp;L)'!I8+H7</f>
        <v>7700</v>
      </c>
      <c r="J7" s="4">
        <f>'Monthly Profit &amp; Loss (P&amp;L)'!J8+I7</f>
        <v>8800</v>
      </c>
      <c r="K7" s="4">
        <f>'Monthly Profit &amp; Loss (P&amp;L)'!K8+J7</f>
        <v>9900</v>
      </c>
      <c r="L7" s="4">
        <f>'Monthly Profit &amp; Loss (P&amp;L)'!L8+K7</f>
        <v>11000</v>
      </c>
      <c r="M7" s="4">
        <f>'Monthly Profit &amp; Loss (P&amp;L)'!M8+L7</f>
        <v>12100</v>
      </c>
      <c r="N7" s="12">
        <f>'Monthly Profit &amp; Loss (P&amp;L)'!N8+M7</f>
        <v>13200</v>
      </c>
    </row>
    <row r="8" spans="2:1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2:1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2:1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Prepayment Schedule</vt:lpstr>
      <vt:lpstr>Monthly Profit &amp; Loss (P&amp;L)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Sherbul Mohammed</dc:creator>
  <cp:lastModifiedBy>Sherbul Mohammed</cp:lastModifiedBy>
  <dcterms:created xsi:type="dcterms:W3CDTF">2025-12-26T15:33:33Z</dcterms:created>
  <dcterms:modified xsi:type="dcterms:W3CDTF">2025-12-26T22:54:24Z</dcterms:modified>
</cp:coreProperties>
</file>